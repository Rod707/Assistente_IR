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ocuments\Curso AI e Reports Excel\Assistente IR\"/>
    </mc:Choice>
  </mc:AlternateContent>
  <xr:revisionPtr revIDLastSave="0" documentId="8_{42971A60-7F59-4767-994D-B576BC4471A3}" xr6:coauthVersionLast="47" xr6:coauthVersionMax="47" xr10:uidLastSave="{00000000-0000-0000-0000-000000000000}"/>
  <bookViews>
    <workbookView xWindow="-120" yWindow="-120" windowWidth="20730" windowHeight="11160" xr2:uid="{16AB82B5-16ED-4134-B17F-B44F4ACD3963}"/>
  </bookViews>
  <sheets>
    <sheet name="Identificação_Contr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4" i="1" l="1"/>
  <c r="Q8" i="1"/>
  <c r="N12" i="1" l="1" a="1"/>
  <c r="F10" i="1" a="1"/>
  <c r="K12" i="1" a="1"/>
  <c r="F1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<sst xmlns="http://schemas.openxmlformats.org/spreadsheetml/2006/main" count="27" uniqueCount="27">
  <si>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Fichas da Declaração</t>
  </si>
  <si>
    <t>System by Rod707 🛸</t>
  </si>
  <si>
    <t>ASSISTENTE DE IR</t>
  </si>
  <si>
    <t>IDENTIFICAÇÃO DO CONTRIBUINTE</t>
  </si>
  <si>
    <t>Logradouro</t>
  </si>
  <si>
    <t>Complemento</t>
  </si>
  <si>
    <t>Bairro / Distrito</t>
  </si>
  <si>
    <t>CEP:</t>
  </si>
  <si>
    <t>Data de Nascimento:</t>
  </si>
  <si>
    <t>CPF:</t>
  </si>
  <si>
    <t>Nome:</t>
  </si>
  <si>
    <t>Endereço:</t>
  </si>
  <si>
    <t>Nome Cônjuge ou Companheiro(a):</t>
  </si>
  <si>
    <t>CPF Cônjuge ou Companheiro(a):</t>
  </si>
  <si>
    <t>Raça / Cor:</t>
  </si>
  <si>
    <t>Número:</t>
  </si>
  <si>
    <t>Município:</t>
  </si>
  <si>
    <t>UF:</t>
  </si>
  <si>
    <t>04890410</t>
  </si>
  <si>
    <t>Kirk Hammet Silva</t>
  </si>
  <si>
    <t>Branca</t>
  </si>
  <si>
    <t>Lilian Silva</t>
  </si>
  <si>
    <t>Houve Alteração de Dados Cadastrais?</t>
  </si>
  <si>
    <t>Telefone:</t>
  </si>
  <si>
    <t>Celular:</t>
  </si>
  <si>
    <t>Ocupação Principal:</t>
  </si>
  <si>
    <t>Natureza da Ocupação: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</si>
</sst>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00\.000\.000\-00"/>
    <numFmt numFmtId="167" formatCode="\(00\)\ #0000\-0000"/>
    <numFmt numFmtId="168" formatCode="\(00\)\ \ 0000\-0000"/>
  </numFmts>
  <fonts count="11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theme="1"/>
      <name val="Dubai"/>
      <family val="2"/>
    </font>
    <font>
      <b/>
      <sz val="11"/>
      <color rgb="FF566970"/>
      <name val="Dubai"/>
      <family val="2"/>
    </font>
    <font>
      <sz val="10"/>
      <color theme="0" tint="-0.499984740745262"/>
      <name val="Dubai"/>
      <family val="2"/>
    </font>
    <font>
      <b/>
      <sz val="14"/>
      <color theme="0" tint="-0.499984740745262"/>
      <name val="Dubai"/>
      <family val="2"/>
    </font>
    <font>
      <b/>
      <sz val="13"/>
      <color theme="3"/>
      <name val="Dubai"/>
      <family val="2"/>
    </font>
    <font>
      <sz val="10"/>
      <color theme="1"/>
      <name val="Dubai"/>
      <family val="2"/>
    </font>
    <font>
      <b/>
      <sz val="11"/>
      <color theme="1"/>
      <name val="Dubai"/>
      <family val="2"/>
    </font>
    <font>
      <b/>
      <sz val="10"/>
      <color theme="1"/>
      <name val="Dubai"/>
      <family val="2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D5E7F5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ck">
        <color rgb="FF566970"/>
      </left>
      <right style="thin">
        <color rgb="FF566970"/>
      </right>
      <top style="thick">
        <color rgb="FF566970"/>
      </top>
      <bottom style="thin">
        <color rgb="FF566970"/>
      </bottom>
      <diagonal/>
    </border>
    <border>
      <left/>
      <right style="thin">
        <color auto="1"/>
      </right>
      <top style="thick">
        <color rgb="FF566970"/>
      </top>
      <bottom style="thin">
        <color rgb="FF566970"/>
      </bottom>
      <diagonal/>
    </border>
    <border>
      <left style="thin">
        <color auto="1"/>
      </left>
      <right style="thin">
        <color auto="1"/>
      </right>
      <top style="thick">
        <color rgb="FF566970"/>
      </top>
      <bottom style="thin">
        <color rgb="FF566970"/>
      </bottom>
      <diagonal/>
    </border>
    <border>
      <left style="thin">
        <color auto="1"/>
      </left>
      <right style="thick">
        <color rgb="FF566970"/>
      </right>
      <top style="thick">
        <color rgb="FF566970"/>
      </top>
      <bottom style="thin">
        <color rgb="FF566970"/>
      </bottom>
      <diagonal/>
    </border>
    <border>
      <left style="thick">
        <color rgb="FF566970"/>
      </left>
      <right style="thin">
        <color rgb="FF566970"/>
      </right>
      <top style="thin">
        <color rgb="FF566970"/>
      </top>
      <bottom style="thin">
        <color rgb="FF566970"/>
      </bottom>
      <diagonal/>
    </border>
    <border>
      <left/>
      <right style="thin">
        <color auto="1"/>
      </right>
      <top style="thin">
        <color rgb="FF566970"/>
      </top>
      <bottom style="thin">
        <color rgb="FF566970"/>
      </bottom>
      <diagonal/>
    </border>
    <border>
      <left style="thin">
        <color auto="1"/>
      </left>
      <right style="thin">
        <color auto="1"/>
      </right>
      <top style="thin">
        <color rgb="FF566970"/>
      </top>
      <bottom style="thin">
        <color rgb="FF566970"/>
      </bottom>
      <diagonal/>
    </border>
    <border>
      <left style="thin">
        <color auto="1"/>
      </left>
      <right style="thin">
        <color rgb="FF566970"/>
      </right>
      <top style="thin">
        <color rgb="FF566970"/>
      </top>
      <bottom style="thin">
        <color rgb="FF566970"/>
      </bottom>
      <diagonal/>
    </border>
    <border>
      <left/>
      <right style="thin">
        <color rgb="FF566970"/>
      </right>
      <top style="thin">
        <color rgb="FF566970"/>
      </top>
      <bottom style="thin">
        <color rgb="FF566970"/>
      </bottom>
      <diagonal/>
    </border>
    <border>
      <left style="thin">
        <color auto="1"/>
      </left>
      <right style="thick">
        <color rgb="FF566970"/>
      </right>
      <top style="thin">
        <color rgb="FF566970"/>
      </top>
      <bottom style="thin">
        <color rgb="FF566970"/>
      </bottom>
      <diagonal/>
    </border>
    <border>
      <left/>
      <right/>
      <top style="thin">
        <color rgb="FF566970"/>
      </top>
      <bottom style="thin">
        <color rgb="FF566970"/>
      </bottom>
      <diagonal/>
    </border>
    <border>
      <left/>
      <right style="thick">
        <color rgb="FF566970"/>
      </right>
      <top style="thin">
        <color rgb="FF566970"/>
      </top>
      <bottom style="thin">
        <color rgb="FF566970"/>
      </bottom>
      <diagonal/>
    </border>
    <border>
      <left style="thick">
        <color rgb="FF566970"/>
      </left>
      <right/>
      <top style="thin">
        <color rgb="FF566970"/>
      </top>
      <bottom style="thin">
        <color rgb="FF566970"/>
      </bottom>
      <diagonal/>
    </border>
    <border>
      <left style="thick">
        <color rgb="FF566970"/>
      </left>
      <right style="thin">
        <color rgb="FF566970"/>
      </right>
      <top style="thin">
        <color rgb="FF566970"/>
      </top>
      <bottom style="thick">
        <color rgb="FF566970"/>
      </bottom>
      <diagonal/>
    </border>
    <border>
      <left style="thick">
        <color rgb="FF566970"/>
      </left>
      <right style="thin">
        <color rgb="FF566970"/>
      </right>
      <top style="thin">
        <color rgb="FF566970"/>
      </top>
      <bottom/>
      <diagonal/>
    </border>
    <border>
      <left/>
      <right style="thin">
        <color auto="1"/>
      </right>
      <top style="thin">
        <color rgb="FF566970"/>
      </top>
      <bottom/>
      <diagonal/>
    </border>
    <border>
      <left style="thin">
        <color auto="1"/>
      </left>
      <right style="thin">
        <color auto="1"/>
      </right>
      <top style="thin">
        <color rgb="FF566970"/>
      </top>
      <bottom/>
      <diagonal/>
    </border>
    <border>
      <left style="thin">
        <color auto="1"/>
      </left>
      <right style="thin">
        <color rgb="FF566970"/>
      </right>
      <top style="thin">
        <color rgb="FF566970"/>
      </top>
      <bottom/>
      <diagonal/>
    </border>
    <border>
      <left/>
      <right style="thin">
        <color rgb="FF566970"/>
      </right>
      <top style="thin">
        <color rgb="FF566970"/>
      </top>
      <bottom/>
      <diagonal/>
    </border>
    <border>
      <left/>
      <right style="thick">
        <color rgb="FF566970"/>
      </right>
      <top style="thin">
        <color rgb="FF566970"/>
      </top>
      <bottom/>
      <diagonal/>
    </border>
    <border>
      <left style="thin">
        <color rgb="FF566970"/>
      </left>
      <right style="thin">
        <color rgb="FF566970"/>
      </right>
      <top style="thin">
        <color rgb="FF566970"/>
      </top>
      <bottom style="thick">
        <color rgb="FF566970"/>
      </bottom>
      <diagonal/>
    </border>
    <border>
      <left style="thin">
        <color rgb="FF566970"/>
      </left>
      <right style="thick">
        <color rgb="FF566970"/>
      </right>
      <top style="thin">
        <color rgb="FF566970"/>
      </top>
      <bottom style="thick">
        <color rgb="FF56697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4" fillId="3" borderId="0" xfId="0" applyFont="1" applyFill="1" applyAlignment="1">
      <alignment horizontal="center"/>
    </xf>
    <xf numFmtId="0" fontId="1" fillId="2" borderId="1" xfId="1" applyFill="1"/>
    <xf numFmtId="0" fontId="6" fillId="2" borderId="1" xfId="1" applyFont="1" applyFill="1"/>
    <xf numFmtId="0" fontId="1" fillId="2" borderId="0" xfId="1" applyFill="1" applyBorder="1"/>
    <xf numFmtId="0" fontId="3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2" borderId="0" xfId="0" applyFont="1" applyFill="1" applyBorder="1" applyAlignment="1"/>
    <xf numFmtId="0" fontId="8" fillId="2" borderId="2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14" fontId="2" fillId="4" borderId="10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49" fontId="2" fillId="4" borderId="10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vertical="center"/>
    </xf>
    <xf numFmtId="0" fontId="2" fillId="4" borderId="7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/>
    </xf>
    <xf numFmtId="166" fontId="2" fillId="4" borderId="7" xfId="0" applyNumberFormat="1" applyFont="1" applyFill="1" applyBorder="1" applyAlignment="1">
      <alignment horizontal="center" vertical="center"/>
    </xf>
    <xf numFmtId="166" fontId="2" fillId="4" borderId="8" xfId="0" applyNumberFormat="1" applyFont="1" applyFill="1" applyBorder="1" applyAlignment="1">
      <alignment horizontal="center" vertical="center"/>
    </xf>
    <xf numFmtId="166" fontId="2" fillId="4" borderId="9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8" fillId="2" borderId="15" xfId="0" applyFont="1" applyFill="1" applyBorder="1" applyAlignment="1"/>
    <xf numFmtId="168" fontId="2" fillId="4" borderId="22" xfId="0" applyNumberFormat="1" applyFont="1" applyFill="1" applyBorder="1" applyAlignment="1">
      <alignment horizontal="left"/>
    </xf>
    <xf numFmtId="0" fontId="8" fillId="2" borderId="22" xfId="0" applyFont="1" applyFill="1" applyBorder="1" applyAlignment="1"/>
    <xf numFmtId="167" fontId="2" fillId="4" borderId="22" xfId="0" applyNumberFormat="1" applyFont="1" applyFill="1" applyBorder="1" applyAlignment="1">
      <alignment horizontal="center"/>
    </xf>
    <xf numFmtId="167" fontId="2" fillId="4" borderId="23" xfId="0" applyNumberFormat="1" applyFont="1" applyFill="1" applyBorder="1" applyAlignment="1">
      <alignment horizontal="center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colors>
    <mruColors>
      <color rgb="FF566970"/>
      <color rgb="FFCFEBFA"/>
      <color rgb="FFD5E7F5"/>
      <color rgb="FFF1F5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firstButton="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dentifica&#231;&#227;o_Contrib!D4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3</xdr:row>
      <xdr:rowOff>28575</xdr:rowOff>
    </xdr:from>
    <xdr:to>
      <xdr:col>2</xdr:col>
      <xdr:colOff>66675</xdr:colOff>
      <xdr:row>3</xdr:row>
      <xdr:rowOff>266700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1C450A-DEE8-53AD-5A51-86648D550E4C}"/>
            </a:ext>
          </a:extLst>
        </xdr:cNvPr>
        <xdr:cNvSpPr/>
      </xdr:nvSpPr>
      <xdr:spPr>
        <a:xfrm>
          <a:off x="209550" y="971550"/>
          <a:ext cx="2466975" cy="238125"/>
        </a:xfrm>
        <a:prstGeom prst="roundRect">
          <a:avLst>
            <a:gd name="adj" fmla="val 49167"/>
          </a:avLst>
        </a:prstGeom>
        <a:gradFill flip="none" rotWithShape="1">
          <a:gsLst>
            <a:gs pos="0">
              <a:srgbClr val="CFEBFA">
                <a:shade val="30000"/>
                <a:satMod val="115000"/>
              </a:srgbClr>
            </a:gs>
            <a:gs pos="50000">
              <a:srgbClr val="CFEBFA">
                <a:shade val="67500"/>
                <a:satMod val="115000"/>
              </a:srgbClr>
            </a:gs>
            <a:gs pos="100000">
              <a:srgbClr val="CFEBFA">
                <a:shade val="100000"/>
                <a:satMod val="115000"/>
              </a:srgbClr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ysClr val="windowText" lastClr="000000"/>
              </a:solidFill>
              <a:latin typeface="Dubai" panose="020B0503030403030204" pitchFamily="34" charset="-78"/>
              <a:cs typeface="Dubai" panose="020B0503030403030204" pitchFamily="34" charset="-78"/>
            </a:rPr>
            <a:t>Identificação do Contribuinte</a:t>
          </a:r>
        </a:p>
      </xdr:txBody>
    </xdr:sp>
    <xdr:clientData/>
  </xdr:twoCellAnchor>
  <xdr:twoCellAnchor editAs="absolute">
    <xdr:from>
      <xdr:col>1</xdr:col>
      <xdr:colOff>0</xdr:colOff>
      <xdr:row>4</xdr:row>
      <xdr:rowOff>104775</xdr:rowOff>
    </xdr:from>
    <xdr:to>
      <xdr:col>2</xdr:col>
      <xdr:colOff>66675</xdr:colOff>
      <xdr:row>5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8791DCF0-C4B2-4C3E-A0A9-9E40898F9D03}"/>
            </a:ext>
          </a:extLst>
        </xdr:cNvPr>
        <xdr:cNvSpPr/>
      </xdr:nvSpPr>
      <xdr:spPr>
        <a:xfrm>
          <a:off x="209550" y="1323975"/>
          <a:ext cx="2466975" cy="238125"/>
        </a:xfrm>
        <a:prstGeom prst="roundRect">
          <a:avLst>
            <a:gd name="adj" fmla="val 49167"/>
          </a:avLst>
        </a:prstGeom>
        <a:solidFill>
          <a:srgbClr val="5669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Dubai" panose="020B0503030403030204" pitchFamily="34" charset="-78"/>
              <a:cs typeface="Dubai" panose="020B0503030403030204" pitchFamily="34" charset="-78"/>
            </a:rPr>
            <a:t>Dependentes / Alimentados</a:t>
          </a:r>
        </a:p>
      </xdr:txBody>
    </xdr:sp>
    <xdr:clientData/>
  </xdr:twoCellAnchor>
  <xdr:twoCellAnchor editAs="absolute">
    <xdr:from>
      <xdr:col>1</xdr:col>
      <xdr:colOff>0</xdr:colOff>
      <xdr:row>5</xdr:row>
      <xdr:rowOff>190500</xdr:rowOff>
    </xdr:from>
    <xdr:to>
      <xdr:col>2</xdr:col>
      <xdr:colOff>66675</xdr:colOff>
      <xdr:row>6</xdr:row>
      <xdr:rowOff>161925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209E874-F927-48F0-AF57-C2F2399E793D}"/>
            </a:ext>
          </a:extLst>
        </xdr:cNvPr>
        <xdr:cNvSpPr/>
      </xdr:nvSpPr>
      <xdr:spPr>
        <a:xfrm>
          <a:off x="209550" y="1676400"/>
          <a:ext cx="2466975" cy="238125"/>
        </a:xfrm>
        <a:prstGeom prst="roundRect">
          <a:avLst>
            <a:gd name="adj" fmla="val 49167"/>
          </a:avLst>
        </a:prstGeom>
        <a:solidFill>
          <a:srgbClr val="5669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Dubai" panose="020B0503030403030204" pitchFamily="34" charset="-78"/>
              <a:cs typeface="Dubai" panose="020B0503030403030204" pitchFamily="34" charset="-78"/>
            </a:rPr>
            <a:t>Recebimentos de Pessoa Jurídica</a:t>
          </a:r>
        </a:p>
      </xdr:txBody>
    </xdr:sp>
    <xdr:clientData/>
  </xdr:twoCellAnchor>
  <xdr:twoCellAnchor editAs="absolute">
    <xdr:from>
      <xdr:col>1</xdr:col>
      <xdr:colOff>0</xdr:colOff>
      <xdr:row>7</xdr:row>
      <xdr:rowOff>9525</xdr:rowOff>
    </xdr:from>
    <xdr:to>
      <xdr:col>2</xdr:col>
      <xdr:colOff>66675</xdr:colOff>
      <xdr:row>8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1FB521DE-D261-47F7-94BC-F8DABE123CD0}"/>
            </a:ext>
          </a:extLst>
        </xdr:cNvPr>
        <xdr:cNvSpPr/>
      </xdr:nvSpPr>
      <xdr:spPr>
        <a:xfrm>
          <a:off x="209550" y="2028825"/>
          <a:ext cx="2466975" cy="238125"/>
        </a:xfrm>
        <a:prstGeom prst="roundRect">
          <a:avLst>
            <a:gd name="adj" fmla="val 49167"/>
          </a:avLst>
        </a:prstGeom>
        <a:solidFill>
          <a:srgbClr val="5669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Dubai" panose="020B0503030403030204" pitchFamily="34" charset="-78"/>
              <a:cs typeface="Dubai" panose="020B0503030403030204" pitchFamily="34" charset="-78"/>
            </a:rPr>
            <a:t>Rend. Isentos e Não Tributáveis</a:t>
          </a:r>
        </a:p>
      </xdr:txBody>
    </xdr:sp>
    <xdr:clientData/>
  </xdr:twoCellAnchor>
  <xdr:twoCellAnchor editAs="absolute">
    <xdr:from>
      <xdr:col>1</xdr:col>
      <xdr:colOff>0</xdr:colOff>
      <xdr:row>8</xdr:row>
      <xdr:rowOff>180975</xdr:rowOff>
    </xdr:from>
    <xdr:to>
      <xdr:col>2</xdr:col>
      <xdr:colOff>66675</xdr:colOff>
      <xdr:row>9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1131CDE-3C61-449D-9108-0B3F431337EF}"/>
            </a:ext>
          </a:extLst>
        </xdr:cNvPr>
        <xdr:cNvSpPr/>
      </xdr:nvSpPr>
      <xdr:spPr>
        <a:xfrm>
          <a:off x="209550" y="2381250"/>
          <a:ext cx="2466975" cy="238125"/>
        </a:xfrm>
        <a:prstGeom prst="roundRect">
          <a:avLst>
            <a:gd name="adj" fmla="val 49167"/>
          </a:avLst>
        </a:prstGeom>
        <a:solidFill>
          <a:srgbClr val="5669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Dubai" panose="020B0503030403030204" pitchFamily="34" charset="-78"/>
              <a:cs typeface="Dubai" panose="020B0503030403030204" pitchFamily="34" charset="-78"/>
            </a:rPr>
            <a:t>Pagamentos Efetuados</a:t>
          </a:r>
        </a:p>
      </xdr:txBody>
    </xdr:sp>
    <xdr:clientData/>
  </xdr:twoCellAnchor>
  <xdr:twoCellAnchor editAs="absolute">
    <xdr:from>
      <xdr:col>1</xdr:col>
      <xdr:colOff>0</xdr:colOff>
      <xdr:row>10</xdr:row>
      <xdr:rowOff>0</xdr:rowOff>
    </xdr:from>
    <xdr:to>
      <xdr:col>2</xdr:col>
      <xdr:colOff>66675</xdr:colOff>
      <xdr:row>10</xdr:row>
      <xdr:rowOff>238125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8D97D2B-0AB7-4A0F-912C-61E06989911B}"/>
            </a:ext>
          </a:extLst>
        </xdr:cNvPr>
        <xdr:cNvSpPr/>
      </xdr:nvSpPr>
      <xdr:spPr>
        <a:xfrm>
          <a:off x="209550" y="2733675"/>
          <a:ext cx="2466975" cy="238125"/>
        </a:xfrm>
        <a:prstGeom prst="roundRect">
          <a:avLst>
            <a:gd name="adj" fmla="val 49167"/>
          </a:avLst>
        </a:prstGeom>
        <a:solidFill>
          <a:srgbClr val="56697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Dubai" panose="020B0503030403030204" pitchFamily="34" charset="-78"/>
              <a:cs typeface="Dubai" panose="020B0503030403030204" pitchFamily="34" charset="-78"/>
            </a:rPr>
            <a:t>Bens e Direitos</a:t>
          </a:r>
        </a:p>
      </xdr:txBody>
    </xdr:sp>
    <xdr:clientData/>
  </xdr:twoCellAnchor>
  <xdr:twoCellAnchor editAs="absolute">
    <xdr:from>
      <xdr:col>1</xdr:col>
      <xdr:colOff>981075</xdr:colOff>
      <xdr:row>14</xdr:row>
      <xdr:rowOff>76200</xdr:rowOff>
    </xdr:from>
    <xdr:to>
      <xdr:col>1</xdr:col>
      <xdr:colOff>1485900</xdr:colOff>
      <xdr:row>15</xdr:row>
      <xdr:rowOff>304800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EBFEABC9-3934-0096-6E60-9191D7C4EEBB}"/>
            </a:ext>
          </a:extLst>
        </xdr:cNvPr>
        <xdr:cNvGrpSpPr/>
      </xdr:nvGrpSpPr>
      <xdr:grpSpPr>
        <a:xfrm>
          <a:off x="1190625" y="3800475"/>
          <a:ext cx="504825" cy="495300"/>
          <a:chOff x="1076325" y="3514725"/>
          <a:chExt cx="504825" cy="495300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C5744F50-D14B-C0B0-5F62-3238E39481F9}"/>
              </a:ext>
            </a:extLst>
          </xdr:cNvPr>
          <xdr:cNvSpPr txBox="1"/>
        </xdr:nvSpPr>
        <xdr:spPr>
          <a:xfrm>
            <a:off x="1076325" y="3514725"/>
            <a:ext cx="504825" cy="495300"/>
          </a:xfrm>
          <a:prstGeom prst="rect">
            <a:avLst/>
          </a:prstGeom>
          <a:solidFill>
            <a:schemeClr val="tx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pt-BR" sz="1100"/>
          </a:p>
        </xdr:txBody>
      </xdr:sp>
      <xdr:pic>
        <xdr:nvPicPr>
          <xdr:cNvPr id="11" name="icon_link" descr="Linkedin White Icons – Free Download SVG, PNG, GIF">
            <a:extLst>
              <a:ext uri="{FF2B5EF4-FFF2-40B4-BE49-F238E27FC236}">
                <a16:creationId xmlns:a16="http://schemas.microsoft.com/office/drawing/2014/main" id="{D97D943F-A225-438D-84BC-10478B1A868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duotone>
              <a:prstClr val="black"/>
              <a:schemeClr val="accent5">
                <a:lumMod val="50000"/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04899" y="3552824"/>
            <a:ext cx="448075" cy="4286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0</xdr:col>
      <xdr:colOff>95250</xdr:colOff>
      <xdr:row>12</xdr:row>
      <xdr:rowOff>104775</xdr:rowOff>
    </xdr:from>
    <xdr:to>
      <xdr:col>2</xdr:col>
      <xdr:colOff>180975</xdr:colOff>
      <xdr:row>12</xdr:row>
      <xdr:rowOff>104775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421DDA3F-5216-04B6-9E31-A8691188D5D7}"/>
            </a:ext>
          </a:extLst>
        </xdr:cNvPr>
        <xdr:cNvCxnSpPr/>
      </xdr:nvCxnSpPr>
      <xdr:spPr>
        <a:xfrm>
          <a:off x="95250" y="3371850"/>
          <a:ext cx="2695575" cy="0"/>
        </a:xfrm>
        <a:prstGeom prst="line">
          <a:avLst/>
        </a:prstGeom>
        <a:ln w="12700">
          <a:solidFill>
            <a:srgbClr val="56697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333375</xdr:colOff>
          <xdr:row>19</xdr:row>
          <xdr:rowOff>9525</xdr:rowOff>
        </xdr:from>
        <xdr:to>
          <xdr:col>4</xdr:col>
          <xdr:colOff>847725</xdr:colOff>
          <xdr:row>20</xdr:row>
          <xdr:rowOff>19050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1323975</xdr:colOff>
          <xdr:row>19</xdr:row>
          <xdr:rowOff>9525</xdr:rowOff>
        </xdr:from>
        <xdr:to>
          <xdr:col>4</xdr:col>
          <xdr:colOff>1838325</xdr:colOff>
          <xdr:row>20</xdr:row>
          <xdr:rowOff>19050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E75CBA2A-6C2F-BBFF-B031-6489417B2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Não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4C8B-BFC2-49D8-B95B-546415482865}">
  <dimension ref="A1:R23"/>
  <sheetViews>
    <sheetView tabSelected="1" topLeftCell="A3" workbookViewId="0">
      <selection activeCell="E16" sqref="E16"/>
    </sheetView>
  </sheetViews>
  <sheetFormatPr defaultRowHeight="21" x14ac:dyDescent="0.55000000000000004"/>
  <cols>
    <col min="1" max="1" width="3.140625" style="1" customWidth="1"/>
    <col min="2" max="2" width="36" style="1" bestFit="1" customWidth="1"/>
    <col min="3" max="3" width="4" style="1" customWidth="1"/>
    <col min="4" max="4" width="9.140625" style="1"/>
    <col min="5" max="5" width="32.5703125" style="1" customWidth="1"/>
    <col min="6" max="6" width="12.28515625" style="1" customWidth="1"/>
    <col min="7" max="8" width="9.140625" style="1"/>
    <col min="9" max="9" width="10.42578125" style="1" bestFit="1" customWidth="1"/>
    <col min="10" max="10" width="10.5703125" style="1" bestFit="1" customWidth="1"/>
    <col min="11" max="11" width="12.85546875" style="1" customWidth="1"/>
    <col min="12" max="12" width="11.140625" style="1" customWidth="1"/>
    <col min="13" max="16384" width="9.140625" style="1"/>
  </cols>
  <sheetData>
    <row r="1" spans="1:18" ht="26.25" x14ac:dyDescent="0.55000000000000004">
      <c r="A1" s="8" t="s">
        <v>2</v>
      </c>
      <c r="B1" s="8"/>
      <c r="C1" s="8"/>
    </row>
    <row r="2" spans="1:18" ht="21" customHeight="1" thickBot="1" x14ac:dyDescent="0.7">
      <c r="A2" s="2"/>
      <c r="B2" s="2"/>
      <c r="C2" s="2"/>
      <c r="E2" s="5" t="s">
        <v>3</v>
      </c>
      <c r="F2" s="4"/>
      <c r="G2" s="4"/>
      <c r="H2" s="4"/>
      <c r="I2" s="4"/>
      <c r="J2" s="4"/>
      <c r="K2" s="4"/>
      <c r="L2" s="4"/>
      <c r="M2" s="4"/>
      <c r="N2" s="4"/>
      <c r="O2" s="6"/>
      <c r="P2" s="6"/>
      <c r="Q2" s="6"/>
      <c r="R2" s="6"/>
    </row>
    <row r="3" spans="1:18" ht="27" customHeight="1" thickTop="1" thickBot="1" x14ac:dyDescent="0.6">
      <c r="A3" s="7" t="s">
        <v>0</v>
      </c>
      <c r="B3" s="7"/>
      <c r="C3" s="7"/>
    </row>
    <row r="4" spans="1:18" ht="21.75" thickTop="1" x14ac:dyDescent="0.55000000000000004">
      <c r="A4" s="2"/>
      <c r="B4" s="2"/>
      <c r="C4" s="2"/>
      <c r="E4" s="10" t="s">
        <v>10</v>
      </c>
      <c r="F4" s="32" t="s">
        <v>19</v>
      </c>
      <c r="G4" s="33"/>
      <c r="H4" s="33"/>
      <c r="I4" s="33"/>
      <c r="J4" s="33"/>
      <c r="K4" s="33"/>
      <c r="L4" s="33"/>
      <c r="M4" s="33"/>
      <c r="N4" s="34"/>
    </row>
    <row r="5" spans="1:18" x14ac:dyDescent="0.55000000000000004">
      <c r="A5" s="2"/>
      <c r="B5" s="2"/>
      <c r="C5" s="2"/>
      <c r="E5" s="11" t="s">
        <v>9</v>
      </c>
      <c r="F5" s="29">
        <v>66685735759</v>
      </c>
      <c r="G5" s="30"/>
      <c r="H5" s="31"/>
      <c r="I5" s="13" t="s">
        <v>8</v>
      </c>
      <c r="J5" s="14"/>
      <c r="K5" s="15">
        <v>24264</v>
      </c>
      <c r="L5" s="16" t="s">
        <v>14</v>
      </c>
      <c r="M5" s="12" t="s">
        <v>20</v>
      </c>
      <c r="N5" s="17"/>
    </row>
    <row r="6" spans="1:18" x14ac:dyDescent="0.55000000000000004">
      <c r="A6" s="2"/>
      <c r="B6" s="2"/>
      <c r="C6" s="2"/>
      <c r="E6" s="11" t="s">
        <v>12</v>
      </c>
      <c r="F6" s="26" t="s">
        <v>21</v>
      </c>
      <c r="G6" s="27"/>
      <c r="H6" s="27"/>
      <c r="I6" s="27"/>
      <c r="J6" s="27"/>
      <c r="K6" s="27"/>
      <c r="L6" s="27"/>
      <c r="M6" s="27"/>
      <c r="N6" s="28"/>
    </row>
    <row r="7" spans="1:18" x14ac:dyDescent="0.55000000000000004">
      <c r="A7" s="2"/>
      <c r="B7" s="2"/>
      <c r="C7" s="2"/>
      <c r="E7" s="11" t="s">
        <v>13</v>
      </c>
      <c r="F7" s="29">
        <v>55466678566</v>
      </c>
      <c r="G7" s="30"/>
      <c r="H7" s="31"/>
      <c r="I7" s="18"/>
      <c r="J7" s="18"/>
      <c r="K7" s="18"/>
      <c r="L7" s="18"/>
      <c r="M7" s="18"/>
      <c r="N7" s="19"/>
    </row>
    <row r="8" spans="1:18" ht="14.25" customHeight="1" x14ac:dyDescent="0.55000000000000004">
      <c r="A8" s="2"/>
      <c r="B8" s="2"/>
      <c r="C8" s="2"/>
      <c r="E8" s="20" t="s">
        <v>11</v>
      </c>
      <c r="F8" s="18"/>
      <c r="G8" s="18"/>
      <c r="H8" s="18"/>
      <c r="I8" s="18"/>
      <c r="J8" s="18"/>
      <c r="K8" s="18"/>
      <c r="L8" s="18"/>
      <c r="M8" s="18"/>
      <c r="N8" s="19"/>
      <c r="Q8" s="1" t="str">
        <f>_xlfn.WEBSERVICE("https://viacep.com.br/ws/"&amp;F9&amp;"/xml/")</f>
        <v>&lt;?xml version="1.0" encoding="UTF-8"?&gt;
&lt;xmlcep&gt;
  &lt;cep&gt;04890-410&lt;/cep&gt;
  &lt;logradouro&gt;Rua Gentil Schunck Roschel&lt;/logradouro&gt;
  &lt;complemento&gt;&lt;/complemento&gt;
  &lt;unidade&gt;&lt;/unidade&gt;
  &lt;bairro&gt;Jardim Novo Parelheiros&lt;/bairro&gt;
  &lt;localidade&gt;São Paulo&lt;/localidade&gt;
  &lt;uf&gt;SP&lt;/uf&gt;
  &lt;estado&gt;São Paulo&lt;/estado&gt;
  &lt;regiao&gt;Sudeste&lt;/regiao&gt;
  &lt;ibge&gt;3550308&lt;/ibge&gt;
  &lt;gia&gt;1004&lt;/gia&gt;
  &lt;ddd&gt;11&lt;/ddd&gt;
  &lt;siafi&gt;7107&lt;/siafi&gt;
&lt;/xmlcep&gt;</v>
      </c>
    </row>
    <row r="9" spans="1:18" ht="21" customHeight="1" x14ac:dyDescent="0.55000000000000004">
      <c r="A9" s="2"/>
      <c r="B9" s="2"/>
      <c r="C9" s="2"/>
      <c r="E9" s="11" t="s">
        <v>7</v>
      </c>
      <c r="F9" s="21" t="s">
        <v>18</v>
      </c>
      <c r="G9" s="18"/>
      <c r="H9" s="18"/>
      <c r="I9" s="18"/>
      <c r="J9" s="18"/>
      <c r="K9" s="18"/>
      <c r="L9" s="18"/>
      <c r="M9" s="18"/>
      <c r="N9" s="19"/>
    </row>
    <row r="10" spans="1:18" x14ac:dyDescent="0.55000000000000004">
      <c r="A10" s="2"/>
      <c r="B10" s="2"/>
      <c r="C10" s="2"/>
      <c r="E10" s="11" t="s">
        <v>4</v>
      </c>
      <c r="F10" s="22" t="str" cm="1">
        <f t="array" ref="F10">_xlfn.FILTERXML($Q$8, "//logradouro")</f>
        <v>Rua Gentil Schunck Roschel</v>
      </c>
      <c r="G10" s="23"/>
      <c r="H10" s="23"/>
      <c r="I10" s="23"/>
      <c r="J10" s="23"/>
      <c r="K10" s="23"/>
      <c r="L10" s="24"/>
      <c r="M10" s="16" t="s">
        <v>15</v>
      </c>
      <c r="N10" s="25">
        <v>320</v>
      </c>
    </row>
    <row r="11" spans="1:18" x14ac:dyDescent="0.55000000000000004">
      <c r="A11" s="2"/>
      <c r="B11" s="2"/>
      <c r="C11" s="2"/>
      <c r="E11" s="11" t="s">
        <v>5</v>
      </c>
      <c r="F11" s="26"/>
      <c r="G11" s="27"/>
      <c r="H11" s="27"/>
      <c r="I11" s="27"/>
      <c r="J11" s="27"/>
      <c r="K11" s="27"/>
      <c r="L11" s="27"/>
      <c r="M11" s="27"/>
      <c r="N11" s="28"/>
    </row>
    <row r="12" spans="1:18" x14ac:dyDescent="0.55000000000000004">
      <c r="A12" s="2"/>
      <c r="B12" s="2"/>
      <c r="C12" s="2"/>
      <c r="E12" s="36" t="s">
        <v>6</v>
      </c>
      <c r="F12" s="37" t="str" cm="1">
        <f t="array" ref="F12">_xlfn.FILTERXML($Q$8, "//bairro")</f>
        <v>Jardim Novo Parelheiros</v>
      </c>
      <c r="G12" s="38"/>
      <c r="H12" s="38"/>
      <c r="I12" s="39"/>
      <c r="J12" s="40" t="s">
        <v>16</v>
      </c>
      <c r="K12" s="37" t="str" cm="1">
        <f t="array" ref="K12">_xlfn.FILTERXML($Q$8, "//localidade")</f>
        <v>São Paulo</v>
      </c>
      <c r="L12" s="39"/>
      <c r="M12" s="40" t="s">
        <v>17</v>
      </c>
      <c r="N12" s="41" t="str" cm="1">
        <f t="array" ref="N12">_xlfn.FILTERXML($Q$8, "//uf")</f>
        <v>SP</v>
      </c>
    </row>
    <row r="13" spans="1:18" ht="21.75" thickBot="1" x14ac:dyDescent="0.6">
      <c r="A13" s="2"/>
      <c r="B13" s="2"/>
      <c r="C13" s="2"/>
      <c r="E13" s="42" t="s">
        <v>23</v>
      </c>
      <c r="F13" s="43">
        <v>1159262549</v>
      </c>
      <c r="G13" s="43"/>
      <c r="H13" s="43"/>
      <c r="I13" s="43"/>
      <c r="J13" s="44" t="s">
        <v>24</v>
      </c>
      <c r="K13" s="45">
        <v>11941647358</v>
      </c>
      <c r="L13" s="45"/>
      <c r="M13" s="45"/>
      <c r="N13" s="46"/>
    </row>
    <row r="14" spans="1:18" ht="14.25" customHeight="1" thickTop="1" x14ac:dyDescent="0.55000000000000004">
      <c r="A14" s="2"/>
      <c r="B14" s="2"/>
      <c r="C14" s="2"/>
      <c r="E14" s="20" t="s">
        <v>25</v>
      </c>
      <c r="F14" s="18"/>
      <c r="G14" s="18"/>
      <c r="H14" s="18"/>
      <c r="I14" s="18"/>
      <c r="J14" s="18"/>
      <c r="K14" s="18"/>
      <c r="L14" s="18"/>
      <c r="M14" s="18"/>
      <c r="N14" s="19"/>
      <c r="Q14" s="1" t="e">
        <f>_xlfn.WEBSERVICE("https://viacep.com.br/ws/"&amp;F15&amp;"/xml/")</f>
        <v>#VALUE!</v>
      </c>
    </row>
    <row r="15" spans="1:18" x14ac:dyDescent="0.55000000000000004">
      <c r="A15" s="2"/>
      <c r="B15" s="2"/>
      <c r="C15" s="2"/>
      <c r="E15" s="1" t="s">
        <v>26</v>
      </c>
      <c r="F15" s="9"/>
      <c r="G15" s="9"/>
      <c r="H15" s="9"/>
      <c r="I15" s="9"/>
      <c r="J15" s="9"/>
      <c r="K15" s="9"/>
      <c r="L15" s="9"/>
      <c r="M15" s="9"/>
      <c r="N15" s="9"/>
    </row>
    <row r="16" spans="1:18" ht="25.5" customHeight="1" x14ac:dyDescent="0.55000000000000004">
      <c r="A16" s="2"/>
      <c r="B16" s="3" t="s">
        <v>1</v>
      </c>
      <c r="C16" s="2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55000000000000004">
      <c r="A17" s="2"/>
      <c r="B17" s="2"/>
      <c r="C17" s="2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55000000000000004">
      <c r="A18" s="2"/>
      <c r="B18" s="2"/>
      <c r="C18" s="2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55000000000000004">
      <c r="A19" s="2"/>
      <c r="B19" s="2"/>
      <c r="C19" s="2"/>
      <c r="E19" s="35" t="s">
        <v>22</v>
      </c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55000000000000004">
      <c r="A20" s="2"/>
      <c r="B20" s="2"/>
      <c r="C20" s="2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55000000000000004">
      <c r="A21" s="2"/>
      <c r="B21" s="2"/>
      <c r="C21" s="2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55000000000000004">
      <c r="A22" s="2"/>
      <c r="B22" s="2"/>
      <c r="C22" s="2"/>
    </row>
    <row r="23" spans="1:14" x14ac:dyDescent="0.55000000000000004">
      <c r="A23" s="2"/>
      <c r="B23" s="2"/>
      <c r="C23" s="2"/>
    </row>
  </sheetData>
  <mergeCells count="13">
    <mergeCell ref="F13:I13"/>
    <mergeCell ref="K13:N13"/>
    <mergeCell ref="F7:H7"/>
    <mergeCell ref="F10:L10"/>
    <mergeCell ref="F12:I12"/>
    <mergeCell ref="K12:L12"/>
    <mergeCell ref="F11:N11"/>
    <mergeCell ref="A3:C3"/>
    <mergeCell ref="A1:C1"/>
    <mergeCell ref="F4:N4"/>
    <mergeCell ref="M5:N5"/>
    <mergeCell ref="F5:H5"/>
    <mergeCell ref="F6:N6"/>
  </mergeCells>
  <dataValidations count="1">
    <dataValidation type="list" allowBlank="1" showInputMessage="1" showErrorMessage="1" sqref="M5:N5" xr:uid="{B3487E3A-E3A2-4692-B339-2E695308A52E}">
      <formula1>"Amarela, Branca, Indígena, Parda, Preta"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Option Button 2">
              <controlPr defaultSize="0" autoFill="0" autoLine="0" autoPict="0">
                <anchor moveWithCells="1">
                  <from>
                    <xdr:col>4</xdr:col>
                    <xdr:colOff>333375</xdr:colOff>
                    <xdr:row>19</xdr:row>
                    <xdr:rowOff>9525</xdr:rowOff>
                  </from>
                  <to>
                    <xdr:col>4</xdr:col>
                    <xdr:colOff>847725</xdr:colOff>
                    <xdr:row>20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Option Button 3">
              <controlPr defaultSize="0" autoFill="0" autoLine="0" autoPict="0">
                <anchor moveWithCells="1">
                  <from>
                    <xdr:col>4</xdr:col>
                    <xdr:colOff>1323975</xdr:colOff>
                    <xdr:row>19</xdr:row>
                    <xdr:rowOff>9525</xdr:rowOff>
                  </from>
                  <to>
                    <xdr:col>4</xdr:col>
                    <xdr:colOff>1838325</xdr:colOff>
                    <xdr:row>20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Identificação_Contrib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Gabriel Soares da Silva</dc:creator>
  <cp:lastModifiedBy>Rodrigo Gabriel Soares da Silva</cp:lastModifiedBy>
  <dcterms:created xsi:type="dcterms:W3CDTF">2026-10-07T09:35:21Z</dcterms:created>
  <dcterms:modified xsi:type="dcterms:W3CDTF">2026-10-09T09:22:24Z</dcterms:modified>
</cp:coreProperties>
</file>